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cuments\"/>
    </mc:Choice>
  </mc:AlternateContent>
  <bookViews>
    <workbookView xWindow="0" yWindow="0" windowWidth="28800" windowHeight="1221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14" i="2"/>
  <c r="D15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3" i="2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B15" i="2"/>
  <c r="B16" i="2"/>
  <c r="D16" i="2" s="1"/>
  <c r="B17" i="2"/>
  <c r="D17" i="2" s="1"/>
  <c r="B18" i="2"/>
  <c r="D18" i="2" s="1"/>
  <c r="B19" i="2"/>
  <c r="D19" i="2" s="1"/>
  <c r="B20" i="2"/>
  <c r="D20" i="2" s="1"/>
  <c r="B2" i="2"/>
  <c r="D2" i="2" s="1"/>
  <c r="G20" i="1"/>
  <c r="H20" i="1"/>
  <c r="J20" i="1"/>
  <c r="I20" i="1"/>
  <c r="G19" i="1"/>
  <c r="H19" i="1"/>
  <c r="J19" i="1"/>
  <c r="I19" i="1"/>
  <c r="G18" i="1"/>
  <c r="H18" i="1"/>
  <c r="J18" i="1"/>
  <c r="I18" i="1"/>
  <c r="G17" i="1"/>
  <c r="H17" i="1"/>
  <c r="J17" i="1"/>
  <c r="I17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<sst xmlns="http://schemas.openxmlformats.org/spreadsheetml/2006/main" count="33" uniqueCount="31">
  <si>
    <t>Student Name</t>
  </si>
  <si>
    <t>Math</t>
  </si>
  <si>
    <t>Science</t>
  </si>
  <si>
    <t>English</t>
  </si>
  <si>
    <t>History</t>
  </si>
  <si>
    <t>Liam</t>
  </si>
  <si>
    <t>Olivia</t>
  </si>
  <si>
    <t>Noah</t>
  </si>
  <si>
    <t>Emma</t>
  </si>
  <si>
    <t>Oliver</t>
  </si>
  <si>
    <t>Ava</t>
  </si>
  <si>
    <t>Elijah</t>
  </si>
  <si>
    <t>William</t>
  </si>
  <si>
    <t>Sophia</t>
  </si>
  <si>
    <t>James</t>
  </si>
  <si>
    <t>Amelia</t>
  </si>
  <si>
    <t>Isabella</t>
  </si>
  <si>
    <t>Lucas</t>
  </si>
  <si>
    <t>total</t>
  </si>
  <si>
    <t>percentage</t>
  </si>
  <si>
    <t>result</t>
  </si>
  <si>
    <t>grade</t>
  </si>
  <si>
    <t>Crystal</t>
  </si>
  <si>
    <t>Suzane</t>
  </si>
  <si>
    <t>Sr</t>
  </si>
  <si>
    <t>Name</t>
  </si>
  <si>
    <t>SOFY</t>
  </si>
  <si>
    <t>LISA</t>
  </si>
  <si>
    <t>FRED</t>
  </si>
  <si>
    <t>MIA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</si>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</sst>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A2" sqref="A2"/>
    </sheetView>
  </sheetViews>
  <sheetFormatPr defaultRowHeight="15" x14ac:dyDescent="0.25"/>
  <cols>
    <col min="8" max="8" width="16.140625" customWidth="1"/>
  </cols>
  <sheetData>
    <row r="1" spans="1:15" s="3" customFormat="1" ht="30" x14ac:dyDescent="0.25">
      <c r="A1" s="12" t="s">
        <v>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8" t="s">
        <v>18</v>
      </c>
      <c r="H1" s="8" t="s">
        <v>19</v>
      </c>
      <c r="I1" s="8" t="s">
        <v>20</v>
      </c>
      <c r="J1" s="8" t="s">
        <v>21</v>
      </c>
      <c r="K1" s="8"/>
    </row>
    <row r="2" spans="1:15" s="3" customFormat="1" x14ac:dyDescent="0.25">
      <c r="A2" s="3">
        <v>1</v>
      </c>
      <c r="B2" s="4" t="s">
        <v>5</v>
      </c>
      <c r="C2" s="5">
        <v>100</v>
      </c>
      <c r="D2" s="5">
        <v>67</v>
      </c>
      <c r="E2" s="5">
        <v>61</v>
      </c>
      <c r="F2" s="5">
        <v>77</v>
      </c>
      <c r="G2" s="3">
        <f>SUM(C2:F2)</f>
        <v>305</v>
      </c>
      <c r="H2" s="3">
        <f xml:space="preserve"> AVERAGE(C2:F2)</f>
        <v>76.25</v>
      </c>
      <c r="I2" s="3" t="str">
        <f>IF(MIN(C2:F2)&gt;=50, "PASS","FAIL")</f>
        <v>PASS</v>
      </c>
      <c r="J2" s="3" t="str">
        <f>IF(H2="FAIL"," ",IF(H2&gt;=90,"A+",IF(H2&gt;=80,"A",IF(H2&gt;=70,"B+",IF(H2&gt;=60,"B","C")))))</f>
        <v>B+</v>
      </c>
    </row>
    <row r="3" spans="1:15" s="3" customFormat="1" x14ac:dyDescent="0.25">
      <c r="A3" s="3">
        <v>2</v>
      </c>
      <c r="B3" s="4" t="s">
        <v>6</v>
      </c>
      <c r="C3" s="5">
        <v>75</v>
      </c>
      <c r="D3" s="5">
        <v>74</v>
      </c>
      <c r="E3" s="5">
        <v>68</v>
      </c>
      <c r="F3" s="5">
        <v>66</v>
      </c>
      <c r="G3" s="3">
        <f t="shared" ref="G3:G20" si="0">SUM(C3:F3)</f>
        <v>283</v>
      </c>
      <c r="H3" s="3">
        <f t="shared" ref="H3:H20" si="1" xml:space="preserve"> AVERAGE(C3:F3)</f>
        <v>70.75</v>
      </c>
      <c r="I3" s="3" t="str">
        <f t="shared" ref="I3:I20" si="2">IF(MIN(C3:F3)&gt;=50, "PASS","FAIL")</f>
        <v>PASS</v>
      </c>
      <c r="J3" s="3" t="str">
        <f t="shared" ref="J3:J20" si="3">IF(H3="FAIL"," ",IF(H3&gt;=90,"A+",IF(H3&gt;=80,"A",IF(H3&gt;=70,"B+",IF(H3&gt;=60,"B","C")))))</f>
        <v>B+</v>
      </c>
    </row>
    <row r="4" spans="1:15" s="3" customFormat="1" x14ac:dyDescent="0.25">
      <c r="A4" s="3">
        <v>3</v>
      </c>
      <c r="B4" s="4" t="s">
        <v>7</v>
      </c>
      <c r="C4" s="5">
        <v>94</v>
      </c>
      <c r="D4" s="5">
        <v>65</v>
      </c>
      <c r="E4" s="5">
        <v>97</v>
      </c>
      <c r="F4" s="5">
        <v>87</v>
      </c>
      <c r="G4" s="3">
        <f t="shared" si="0"/>
        <v>343</v>
      </c>
      <c r="H4" s="3">
        <f t="shared" si="1"/>
        <v>85.75</v>
      </c>
      <c r="I4" s="3" t="str">
        <f t="shared" si="2"/>
        <v>PASS</v>
      </c>
      <c r="J4" s="3" t="str">
        <f t="shared" si="3"/>
        <v>A</v>
      </c>
      <c r="O4" s="9"/>
    </row>
    <row r="5" spans="1:15" s="3" customFormat="1" x14ac:dyDescent="0.25">
      <c r="A5" s="3">
        <v>4</v>
      </c>
      <c r="B5" s="4" t="s">
        <v>8</v>
      </c>
      <c r="C5" s="5">
        <v>62</v>
      </c>
      <c r="D5" s="5">
        <v>61</v>
      </c>
      <c r="E5" s="5">
        <v>65</v>
      </c>
      <c r="F5" s="5">
        <v>73</v>
      </c>
      <c r="G5" s="3">
        <f t="shared" si="0"/>
        <v>261</v>
      </c>
      <c r="H5" s="3">
        <f t="shared" si="1"/>
        <v>65.25</v>
      </c>
      <c r="I5" s="3" t="str">
        <f t="shared" si="2"/>
        <v>PASS</v>
      </c>
      <c r="J5" s="3" t="str">
        <f t="shared" si="3"/>
        <v>B</v>
      </c>
    </row>
    <row r="6" spans="1:15" s="3" customFormat="1" x14ac:dyDescent="0.25">
      <c r="A6" s="3">
        <v>5</v>
      </c>
      <c r="B6" s="4" t="s">
        <v>9</v>
      </c>
      <c r="C6" s="5">
        <v>74</v>
      </c>
      <c r="D6" s="5">
        <v>92</v>
      </c>
      <c r="E6" s="5">
        <v>98</v>
      </c>
      <c r="F6" s="5">
        <v>61</v>
      </c>
      <c r="G6" s="3">
        <f t="shared" si="0"/>
        <v>325</v>
      </c>
      <c r="H6" s="3">
        <f t="shared" si="1"/>
        <v>81.25</v>
      </c>
      <c r="I6" s="3" t="str">
        <f t="shared" si="2"/>
        <v>PASS</v>
      </c>
      <c r="J6" s="3" t="str">
        <f t="shared" si="3"/>
        <v>A</v>
      </c>
    </row>
    <row r="7" spans="1:15" s="3" customFormat="1" x14ac:dyDescent="0.25">
      <c r="A7" s="3">
        <v>6</v>
      </c>
      <c r="B7" s="4" t="s">
        <v>10</v>
      </c>
      <c r="C7" s="5">
        <v>28</v>
      </c>
      <c r="D7" s="5">
        <v>72</v>
      </c>
      <c r="E7" s="5">
        <v>94</v>
      </c>
      <c r="F7" s="5">
        <v>86</v>
      </c>
      <c r="G7" s="3">
        <f t="shared" si="0"/>
        <v>280</v>
      </c>
      <c r="H7" s="3">
        <f t="shared" si="1"/>
        <v>70</v>
      </c>
      <c r="I7" s="3" t="str">
        <f t="shared" si="2"/>
        <v>FAIL</v>
      </c>
      <c r="J7" s="3" t="str">
        <f t="shared" si="3"/>
        <v>B+</v>
      </c>
    </row>
    <row r="8" spans="1:15" s="3" customFormat="1" x14ac:dyDescent="0.25">
      <c r="A8" s="3">
        <v>7</v>
      </c>
      <c r="B8" s="4" t="s">
        <v>11</v>
      </c>
      <c r="C8" s="5">
        <v>74</v>
      </c>
      <c r="D8" s="5">
        <v>88</v>
      </c>
      <c r="E8" s="5">
        <v>97</v>
      </c>
      <c r="F8" s="5">
        <v>77</v>
      </c>
      <c r="G8" s="3">
        <f t="shared" si="0"/>
        <v>336</v>
      </c>
      <c r="H8" s="3">
        <f t="shared" si="1"/>
        <v>84</v>
      </c>
      <c r="I8" s="3" t="str">
        <f t="shared" si="2"/>
        <v>PASS</v>
      </c>
      <c r="J8" s="3" t="str">
        <f t="shared" si="3"/>
        <v>A</v>
      </c>
    </row>
    <row r="9" spans="1:15" s="3" customFormat="1" x14ac:dyDescent="0.25">
      <c r="A9" s="3">
        <v>8</v>
      </c>
      <c r="B9" s="4" t="s">
        <v>22</v>
      </c>
      <c r="C9" s="5">
        <v>60</v>
      </c>
      <c r="D9" s="5">
        <v>70</v>
      </c>
      <c r="E9" s="5">
        <v>87</v>
      </c>
      <c r="F9" s="5">
        <v>45</v>
      </c>
      <c r="G9" s="3">
        <f t="shared" si="0"/>
        <v>262</v>
      </c>
      <c r="H9" s="3">
        <f t="shared" si="1"/>
        <v>65.5</v>
      </c>
      <c r="I9" s="3" t="str">
        <f t="shared" si="2"/>
        <v>FAIL</v>
      </c>
      <c r="J9" s="3" t="str">
        <f t="shared" si="3"/>
        <v>B</v>
      </c>
    </row>
    <row r="10" spans="1:15" s="3" customFormat="1" x14ac:dyDescent="0.25">
      <c r="A10" s="3">
        <v>9</v>
      </c>
      <c r="B10" s="4" t="s">
        <v>12</v>
      </c>
      <c r="C10" s="5">
        <v>77</v>
      </c>
      <c r="D10" s="5">
        <v>69</v>
      </c>
      <c r="E10" s="5">
        <v>73</v>
      </c>
      <c r="F10" s="5">
        <v>81</v>
      </c>
      <c r="G10" s="3">
        <f t="shared" si="0"/>
        <v>300</v>
      </c>
      <c r="H10" s="3">
        <f t="shared" si="1"/>
        <v>75</v>
      </c>
      <c r="I10" s="3" t="str">
        <f t="shared" si="2"/>
        <v>PASS</v>
      </c>
      <c r="J10" s="3" t="str">
        <f t="shared" si="3"/>
        <v>B+</v>
      </c>
    </row>
    <row r="11" spans="1:15" s="3" customFormat="1" x14ac:dyDescent="0.25">
      <c r="A11" s="3">
        <v>10</v>
      </c>
      <c r="B11" s="4" t="s">
        <v>13</v>
      </c>
      <c r="C11" s="5">
        <v>66</v>
      </c>
      <c r="D11" s="5">
        <v>65</v>
      </c>
      <c r="E11" s="5">
        <v>84</v>
      </c>
      <c r="F11" s="5">
        <v>34</v>
      </c>
      <c r="G11" s="3">
        <f t="shared" si="0"/>
        <v>249</v>
      </c>
      <c r="H11" s="3">
        <f t="shared" si="1"/>
        <v>62.25</v>
      </c>
      <c r="I11" s="3" t="str">
        <f t="shared" si="2"/>
        <v>FAIL</v>
      </c>
      <c r="J11" s="3" t="str">
        <f t="shared" si="3"/>
        <v>B</v>
      </c>
    </row>
    <row r="12" spans="1:15" s="3" customFormat="1" x14ac:dyDescent="0.25">
      <c r="A12" s="3">
        <v>11</v>
      </c>
      <c r="B12" s="4" t="s">
        <v>14</v>
      </c>
      <c r="C12" s="5">
        <v>82</v>
      </c>
      <c r="D12" s="5">
        <v>82</v>
      </c>
      <c r="E12" s="5">
        <v>98</v>
      </c>
      <c r="F12" s="5">
        <v>76</v>
      </c>
      <c r="G12" s="3">
        <f t="shared" si="0"/>
        <v>338</v>
      </c>
      <c r="H12" s="3">
        <f t="shared" si="1"/>
        <v>84.5</v>
      </c>
      <c r="I12" s="3" t="str">
        <f t="shared" si="2"/>
        <v>PASS</v>
      </c>
      <c r="J12" s="3" t="str">
        <f t="shared" si="3"/>
        <v>A</v>
      </c>
    </row>
    <row r="13" spans="1:15" s="3" customFormat="1" x14ac:dyDescent="0.25">
      <c r="A13" s="3">
        <v>12</v>
      </c>
      <c r="B13" s="4" t="s">
        <v>15</v>
      </c>
      <c r="C13" s="5">
        <v>62</v>
      </c>
      <c r="D13" s="5">
        <v>89</v>
      </c>
      <c r="E13" s="5">
        <v>94</v>
      </c>
      <c r="F13" s="5">
        <v>67</v>
      </c>
      <c r="G13" s="3">
        <f t="shared" si="0"/>
        <v>312</v>
      </c>
      <c r="H13" s="3">
        <f t="shared" si="1"/>
        <v>78</v>
      </c>
      <c r="I13" s="3" t="str">
        <f t="shared" si="2"/>
        <v>PASS</v>
      </c>
      <c r="J13" s="3" t="str">
        <f t="shared" si="3"/>
        <v>B+</v>
      </c>
    </row>
    <row r="14" spans="1:15" s="3" customFormat="1" x14ac:dyDescent="0.25">
      <c r="A14" s="3">
        <v>13</v>
      </c>
      <c r="B14" s="4" t="s">
        <v>23</v>
      </c>
      <c r="C14" s="5">
        <v>84</v>
      </c>
      <c r="D14" s="5">
        <v>65</v>
      </c>
      <c r="E14" s="5">
        <v>95</v>
      </c>
      <c r="F14" s="5">
        <v>78</v>
      </c>
      <c r="G14" s="3">
        <f t="shared" si="0"/>
        <v>322</v>
      </c>
      <c r="H14" s="3">
        <f t="shared" si="1"/>
        <v>80.5</v>
      </c>
      <c r="I14" s="3" t="str">
        <f t="shared" si="2"/>
        <v>PASS</v>
      </c>
      <c r="J14" s="3" t="str">
        <f t="shared" si="3"/>
        <v>A</v>
      </c>
    </row>
    <row r="15" spans="1:15" s="3" customFormat="1" x14ac:dyDescent="0.25">
      <c r="A15" s="3">
        <v>14</v>
      </c>
      <c r="B15" s="4" t="s">
        <v>16</v>
      </c>
      <c r="C15" s="5">
        <v>100</v>
      </c>
      <c r="D15" s="5">
        <v>99</v>
      </c>
      <c r="E15" s="5">
        <v>83</v>
      </c>
      <c r="F15" s="5">
        <v>96</v>
      </c>
      <c r="G15" s="3">
        <f t="shared" si="0"/>
        <v>378</v>
      </c>
      <c r="H15" s="3">
        <f t="shared" si="1"/>
        <v>94.5</v>
      </c>
      <c r="I15" s="3" t="str">
        <f t="shared" si="2"/>
        <v>PASS</v>
      </c>
      <c r="J15" s="3" t="str">
        <f t="shared" si="3"/>
        <v>A+</v>
      </c>
    </row>
    <row r="16" spans="1:15" s="3" customFormat="1" x14ac:dyDescent="0.25">
      <c r="A16" s="3">
        <v>15</v>
      </c>
      <c r="B16" s="4" t="s">
        <v>17</v>
      </c>
      <c r="C16" s="5">
        <v>72</v>
      </c>
      <c r="D16" s="5">
        <v>64</v>
      </c>
      <c r="E16" s="5">
        <v>62</v>
      </c>
      <c r="F16" s="5">
        <v>47</v>
      </c>
      <c r="G16" s="3">
        <f t="shared" si="0"/>
        <v>245</v>
      </c>
      <c r="H16" s="3">
        <f t="shared" si="1"/>
        <v>61.25</v>
      </c>
      <c r="I16" s="3" t="str">
        <f t="shared" si="2"/>
        <v>FAIL</v>
      </c>
      <c r="J16" s="3" t="str">
        <f t="shared" si="3"/>
        <v>B</v>
      </c>
    </row>
    <row r="17" spans="1:10" s="3" customFormat="1" x14ac:dyDescent="0.25">
      <c r="A17" s="3">
        <v>16</v>
      </c>
      <c r="B17" s="6" t="s">
        <v>26</v>
      </c>
      <c r="C17" s="3">
        <v>58</v>
      </c>
      <c r="D17" s="3">
        <v>65</v>
      </c>
      <c r="E17" s="3">
        <v>93</v>
      </c>
      <c r="F17" s="3">
        <v>76</v>
      </c>
      <c r="G17" s="3">
        <f t="shared" si="0"/>
        <v>292</v>
      </c>
      <c r="H17" s="3">
        <f t="shared" si="1"/>
        <v>73</v>
      </c>
      <c r="I17" s="3" t="str">
        <f t="shared" si="2"/>
        <v>PASS</v>
      </c>
      <c r="J17" s="3" t="str">
        <f t="shared" si="3"/>
        <v>B+</v>
      </c>
    </row>
    <row r="18" spans="1:10" s="3" customFormat="1" x14ac:dyDescent="0.25">
      <c r="A18" s="3">
        <v>17</v>
      </c>
      <c r="B18" s="7" t="s">
        <v>27</v>
      </c>
      <c r="C18" s="3">
        <v>89</v>
      </c>
      <c r="D18" s="3">
        <v>90</v>
      </c>
      <c r="E18" s="3">
        <v>89</v>
      </c>
      <c r="F18" s="3">
        <v>95</v>
      </c>
      <c r="G18" s="3">
        <f t="shared" si="0"/>
        <v>363</v>
      </c>
      <c r="H18" s="3">
        <f t="shared" si="1"/>
        <v>90.75</v>
      </c>
      <c r="I18" s="3" t="str">
        <f t="shared" si="2"/>
        <v>PASS</v>
      </c>
      <c r="J18" s="3" t="str">
        <f t="shared" si="3"/>
        <v>A+</v>
      </c>
    </row>
    <row r="19" spans="1:10" s="3" customFormat="1" x14ac:dyDescent="0.25">
      <c r="A19" s="3">
        <v>18</v>
      </c>
      <c r="B19" s="7" t="s">
        <v>28</v>
      </c>
      <c r="C19" s="10">
        <v>78</v>
      </c>
      <c r="D19" s="10">
        <v>80</v>
      </c>
      <c r="E19" s="10">
        <v>70</v>
      </c>
      <c r="F19" s="10">
        <v>65</v>
      </c>
      <c r="G19" s="11">
        <f t="shared" si="0"/>
        <v>293</v>
      </c>
      <c r="H19" s="11">
        <f t="shared" si="1"/>
        <v>73.25</v>
      </c>
      <c r="I19" s="11" t="str">
        <f t="shared" si="2"/>
        <v>PASS</v>
      </c>
      <c r="J19" s="11" t="str">
        <f t="shared" si="3"/>
        <v>B+</v>
      </c>
    </row>
    <row r="20" spans="1:10" s="3" customFormat="1" x14ac:dyDescent="0.25">
      <c r="A20" s="3">
        <v>19</v>
      </c>
      <c r="B20" s="7" t="s">
        <v>29</v>
      </c>
      <c r="C20" s="10">
        <v>78</v>
      </c>
      <c r="D20" s="10">
        <v>98</v>
      </c>
      <c r="E20" s="10">
        <v>54</v>
      </c>
      <c r="F20" s="10">
        <v>76</v>
      </c>
      <c r="G20" s="11">
        <f t="shared" si="0"/>
        <v>306</v>
      </c>
      <c r="H20" s="11">
        <f t="shared" si="1"/>
        <v>76.5</v>
      </c>
      <c r="I20" s="11" t="str">
        <f t="shared" si="2"/>
        <v>PASS</v>
      </c>
      <c r="J20" s="11" t="str">
        <f t="shared" si="3"/>
        <v>B+</v>
      </c>
    </row>
    <row r="21" spans="1:10" x14ac:dyDescent="0.25">
      <c r="B21" s="6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B2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B23" sqref="AB23"/>
    </sheetView>
  </sheetViews>
  <sheetFormatPr defaultRowHeight="15" x14ac:dyDescent="0.25"/>
  <sheetData>
    <row r="1" spans="1:4" x14ac:dyDescent="0.25">
      <c r="A1" t="s">
        <v>24</v>
      </c>
      <c r="B1" t="s">
        <v>25</v>
      </c>
      <c r="C1" t="s">
        <v>18</v>
      </c>
      <c r="D1" t="s">
        <v>20</v>
      </c>
    </row>
    <row r="2" spans="1:4" x14ac:dyDescent="0.25">
      <c r="A2" s="3">
        <v>1</v>
      </c>
      <c r="B2" t="str">
        <f>VLOOKUP(A2,Sheet1!A2:J20,2, FALSE)</f>
        <v>Liam</v>
      </c>
      <c r="C2">
        <f>VLOOKUP(A2,Sheet1!A2:J21,7,FALSE)</f>
        <v>305</v>
      </c>
      <c r="D2" t="str">
        <f>VLOOKUP(B2,Sheet1!B2:K21,9,FALSE)</f>
        <v>B+</v>
      </c>
    </row>
    <row r="3" spans="1:4" x14ac:dyDescent="0.25">
      <c r="A3" s="3">
        <v>2</v>
      </c>
      <c r="B3" t="str">
        <f>VLOOKUP(A3,Sheet1!A3:J21,2, FALSE)</f>
        <v>Olivia</v>
      </c>
      <c r="C3">
        <f>VLOOKUP(A3,Sheet1!A3:J22,7,FALSE)</f>
        <v>283</v>
      </c>
      <c r="D3" t="str">
        <f>VLOOKUP(B3,Sheet1!B3:K22,9,FALSE)</f>
        <v>B+</v>
      </c>
    </row>
    <row r="4" spans="1:4" x14ac:dyDescent="0.25">
      <c r="A4" s="3">
        <v>3</v>
      </c>
      <c r="B4" t="str">
        <f>VLOOKUP(A4,Sheet1!A4:J22,2, FALSE)</f>
        <v>Noah</v>
      </c>
      <c r="C4">
        <f>VLOOKUP(A4,Sheet1!A4:J23,7,FALSE)</f>
        <v>343</v>
      </c>
      <c r="D4" t="str">
        <f>VLOOKUP(B4,Sheet1!B4:K23,9,FALSE)</f>
        <v>A</v>
      </c>
    </row>
    <row r="5" spans="1:4" x14ac:dyDescent="0.25">
      <c r="A5" s="3">
        <v>4</v>
      </c>
      <c r="B5" t="str">
        <f>VLOOKUP(A5,Sheet1!A5:J23,2, FALSE)</f>
        <v>Emma</v>
      </c>
      <c r="C5">
        <f>VLOOKUP(A5,Sheet1!A5:J24,7,FALSE)</f>
        <v>261</v>
      </c>
      <c r="D5" t="str">
        <f>VLOOKUP(B5,Sheet1!B5:K24,9,FALSE)</f>
        <v>B</v>
      </c>
    </row>
    <row r="6" spans="1:4" x14ac:dyDescent="0.25">
      <c r="A6" s="3">
        <v>5</v>
      </c>
      <c r="B6" t="str">
        <f>VLOOKUP(A6,Sheet1!A6:J24,2, FALSE)</f>
        <v>Oliver</v>
      </c>
      <c r="C6">
        <f>VLOOKUP(A6,Sheet1!A6:J25,7,FALSE)</f>
        <v>325</v>
      </c>
      <c r="D6" t="str">
        <f>VLOOKUP(B6,Sheet1!B6:K25,9,FALSE)</f>
        <v>A</v>
      </c>
    </row>
    <row r="7" spans="1:4" x14ac:dyDescent="0.25">
      <c r="A7" s="3">
        <v>6</v>
      </c>
      <c r="B7" t="str">
        <f>VLOOKUP(A7,Sheet1!A7:J25,2, FALSE)</f>
        <v>Ava</v>
      </c>
      <c r="C7">
        <f>VLOOKUP(A7,Sheet1!A7:J26,7,FALSE)</f>
        <v>280</v>
      </c>
      <c r="D7" t="str">
        <f>VLOOKUP(B7,Sheet1!B7:K26,9,FALSE)</f>
        <v>B+</v>
      </c>
    </row>
    <row r="8" spans="1:4" x14ac:dyDescent="0.25">
      <c r="A8" s="3">
        <v>7</v>
      </c>
      <c r="B8" t="str">
        <f>VLOOKUP(A8,Sheet1!A8:J26,2, FALSE)</f>
        <v>Elijah</v>
      </c>
      <c r="C8">
        <f>VLOOKUP(A8,Sheet1!A8:J27,7,FALSE)</f>
        <v>336</v>
      </c>
      <c r="D8" t="str">
        <f>VLOOKUP(B8,Sheet1!B8:K27,9,FALSE)</f>
        <v>A</v>
      </c>
    </row>
    <row r="9" spans="1:4" x14ac:dyDescent="0.25">
      <c r="A9" s="3">
        <v>8</v>
      </c>
      <c r="B9" t="str">
        <f>VLOOKUP(A9,Sheet1!A9:J27,2, FALSE)</f>
        <v>Crystal</v>
      </c>
      <c r="C9">
        <f>VLOOKUP(A9,Sheet1!A9:J28,7,FALSE)</f>
        <v>262</v>
      </c>
      <c r="D9" t="str">
        <f>VLOOKUP(B9,Sheet1!B9:K28,9,FALSE)</f>
        <v>B</v>
      </c>
    </row>
    <row r="10" spans="1:4" x14ac:dyDescent="0.25">
      <c r="A10" s="3">
        <v>9</v>
      </c>
      <c r="B10" t="str">
        <f>VLOOKUP(A10,Sheet1!A10:J28,2, FALSE)</f>
        <v>William</v>
      </c>
      <c r="C10">
        <f>VLOOKUP(A10,Sheet1!A10:J29,7,FALSE)</f>
        <v>300</v>
      </c>
      <c r="D10" t="str">
        <f>VLOOKUP(B10,Sheet1!B10:K29,9,FALSE)</f>
        <v>B+</v>
      </c>
    </row>
    <row r="11" spans="1:4" x14ac:dyDescent="0.25">
      <c r="A11" s="3">
        <v>10</v>
      </c>
      <c r="B11" t="str">
        <f>VLOOKUP(A11,Sheet1!A11:J29,2, FALSE)</f>
        <v>Sophia</v>
      </c>
      <c r="C11">
        <f>VLOOKUP(A11,Sheet1!A11:J30,7,FALSE)</f>
        <v>249</v>
      </c>
      <c r="D11" t="str">
        <f>VLOOKUP(B11,Sheet1!B11:K30,9,FALSE)</f>
        <v>B</v>
      </c>
    </row>
    <row r="12" spans="1:4" x14ac:dyDescent="0.25">
      <c r="A12" s="3">
        <v>11</v>
      </c>
      <c r="B12" t="str">
        <f>VLOOKUP(A12,Sheet1!A12:J30,2, FALSE)</f>
        <v>James</v>
      </c>
      <c r="C12">
        <f>VLOOKUP(A12,Sheet1!A12:J31,7,FALSE)</f>
        <v>338</v>
      </c>
      <c r="D12" t="str">
        <f>VLOOKUP(B12,Sheet1!B12:K31,9,FALSE)</f>
        <v>A</v>
      </c>
    </row>
    <row r="13" spans="1:4" x14ac:dyDescent="0.25">
      <c r="A13" s="3">
        <v>12</v>
      </c>
      <c r="B13" t="str">
        <f>VLOOKUP(A13,Sheet1!A13:J31,2, FALSE)</f>
        <v>Amelia</v>
      </c>
      <c r="C13">
        <f>VLOOKUP(A13,Sheet1!A13:J32,7,FALSE)</f>
        <v>312</v>
      </c>
      <c r="D13" t="str">
        <f>VLOOKUP(B13,Sheet1!B13:K32,9,FALSE)</f>
        <v>B+</v>
      </c>
    </row>
    <row r="14" spans="1:4" x14ac:dyDescent="0.25">
      <c r="A14" s="3">
        <v>13</v>
      </c>
      <c r="B14" t="str">
        <f>VLOOKUP(A14,Sheet1!A14:J32,2, FALSE)</f>
        <v>Suzane</v>
      </c>
      <c r="C14">
        <f>VLOOKUP(A14,Sheet1!A14:J33,7,FALSE)</f>
        <v>322</v>
      </c>
      <c r="D14" t="str">
        <f>VLOOKUP(B14,Sheet1!B14:K33,9,FALSE)</f>
        <v>A</v>
      </c>
    </row>
    <row r="15" spans="1:4" x14ac:dyDescent="0.25">
      <c r="A15" s="3">
        <v>14</v>
      </c>
      <c r="B15" t="str">
        <f>VLOOKUP(A15,Sheet1!A15:J33,2, FALSE)</f>
        <v>Isabella</v>
      </c>
      <c r="C15">
        <f>VLOOKUP(A15,Sheet1!A15:J34,7,FALSE)</f>
        <v>378</v>
      </c>
      <c r="D15" t="str">
        <f>VLOOKUP(B15,Sheet1!B15:K34,9,FALSE)</f>
        <v>A+</v>
      </c>
    </row>
    <row r="16" spans="1:4" x14ac:dyDescent="0.25">
      <c r="A16" s="3">
        <v>15</v>
      </c>
      <c r="B16" t="str">
        <f>VLOOKUP(A16,Sheet1!A16:J34,2, FALSE)</f>
        <v>Lucas</v>
      </c>
      <c r="C16">
        <f>VLOOKUP(A16,Sheet1!A16:J35,7,FALSE)</f>
        <v>245</v>
      </c>
      <c r="D16" t="str">
        <f>VLOOKUP(B16,Sheet1!B16:K35,9,FALSE)</f>
        <v>B</v>
      </c>
    </row>
    <row r="17" spans="1:4" x14ac:dyDescent="0.25">
      <c r="A17" s="3">
        <v>16</v>
      </c>
      <c r="B17" t="str">
        <f>VLOOKUP(A17,Sheet1!A17:J35,2, FALSE)</f>
        <v>SOFY</v>
      </c>
      <c r="C17">
        <f>VLOOKUP(A17,Sheet1!A17:J36,7,FALSE)</f>
        <v>292</v>
      </c>
      <c r="D17" t="str">
        <f>VLOOKUP(B17,Sheet1!B17:K36,9,FALSE)</f>
        <v>B+</v>
      </c>
    </row>
    <row r="18" spans="1:4" x14ac:dyDescent="0.25">
      <c r="A18" s="3">
        <v>17</v>
      </c>
      <c r="B18" t="str">
        <f>VLOOKUP(A18,Sheet1!A18:J36,2, FALSE)</f>
        <v>LISA</v>
      </c>
      <c r="C18">
        <f>VLOOKUP(A18,Sheet1!A18:J37,7,FALSE)</f>
        <v>363</v>
      </c>
      <c r="D18" t="str">
        <f>VLOOKUP(B18,Sheet1!B18:K37,9,FALSE)</f>
        <v>A+</v>
      </c>
    </row>
    <row r="19" spans="1:4" ht="17.25" customHeight="1" x14ac:dyDescent="0.25">
      <c r="A19" s="3">
        <v>18</v>
      </c>
      <c r="B19" t="str">
        <f>VLOOKUP(A19,Sheet1!A19:J37,2, FALSE)</f>
        <v>FRED</v>
      </c>
      <c r="C19">
        <f>VLOOKUP(A19,Sheet1!A19:J38,7,FALSE)</f>
        <v>293</v>
      </c>
      <c r="D19" t="str">
        <f>VLOOKUP(B19,Sheet1!B19:K38,9,FALSE)</f>
        <v>B+</v>
      </c>
    </row>
    <row r="20" spans="1:4" x14ac:dyDescent="0.25">
      <c r="A20" s="3">
        <v>19</v>
      </c>
      <c r="B20" t="str">
        <f>VLOOKUP(A20,Sheet1!A20:J38,2, FALSE)</f>
        <v>MIA</v>
      </c>
      <c r="C20">
        <f>VLOOKUP(A20,Sheet1!A20:J39,7,FALSE)</f>
        <v>306</v>
      </c>
      <c r="D20" t="str">
        <f>VLOOKUP(B20,Sheet1!B20:K39,9,FALSE)</f>
        <v>B+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2026-09-17T09:02:06Z</dcterms:created>
  <dcterms:modified xsi:type="dcterms:W3CDTF">2026-09-24T09:23:13Z</dcterms:modified>
</cp:coreProperties>
</file>